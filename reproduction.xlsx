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project-1\"/>
    </mc:Choice>
  </mc:AlternateContent>
  <xr:revisionPtr revIDLastSave="0" documentId="13_ncr:1_{22BB3F52-A6C2-45D3-9BBC-9AC0E69BC4CA}" xr6:coauthVersionLast="47" xr6:coauthVersionMax="47" xr10:uidLastSave="{00000000-0000-0000-0000-000000000000}"/>
  <bookViews>
    <workbookView xWindow="1440" yWindow="1440" windowWidth="28800" windowHeight="15460" tabRatio="176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" i="1" l="1"/>
  <c r="F65" i="1"/>
  <c r="G61" i="1"/>
  <c r="F62" i="1"/>
  <c r="L3" i="1"/>
  <c r="L4" i="1"/>
  <c r="M4" i="1" s="1"/>
  <c r="L5" i="1"/>
  <c r="M5" i="1" s="1"/>
  <c r="L6" i="1"/>
  <c r="M6" i="1" s="1"/>
  <c r="L7" i="1"/>
  <c r="M7" i="1" s="1"/>
  <c r="L8" i="1"/>
  <c r="M8" i="1" s="1"/>
  <c r="L9" i="1"/>
  <c r="L10" i="1"/>
  <c r="L11" i="1"/>
  <c r="L12" i="1"/>
  <c r="L13" i="1"/>
  <c r="L14" i="1"/>
  <c r="L15" i="1"/>
  <c r="L16" i="1"/>
  <c r="L17" i="1"/>
  <c r="L18" i="1"/>
  <c r="L19" i="1"/>
  <c r="L20" i="1"/>
  <c r="M20" i="1" s="1"/>
  <c r="L21" i="1"/>
  <c r="M21" i="1" s="1"/>
  <c r="L22" i="1"/>
  <c r="M22" i="1" s="1"/>
  <c r="L23" i="1"/>
  <c r="M23" i="1" s="1"/>
  <c r="L24" i="1"/>
  <c r="M24" i="1" s="1"/>
  <c r="L25" i="1"/>
  <c r="L26" i="1"/>
  <c r="L27" i="1"/>
  <c r="L28" i="1"/>
  <c r="L29" i="1"/>
  <c r="L30" i="1"/>
  <c r="L31" i="1"/>
  <c r="L32" i="1"/>
  <c r="L33" i="1"/>
  <c r="L34" i="1"/>
  <c r="L35" i="1"/>
  <c r="L36" i="1"/>
  <c r="M36" i="1" s="1"/>
  <c r="L37" i="1"/>
  <c r="M37" i="1" s="1"/>
  <c r="L38" i="1"/>
  <c r="M38" i="1" s="1"/>
  <c r="L39" i="1"/>
  <c r="M39" i="1" s="1"/>
  <c r="L40" i="1"/>
  <c r="M40" i="1" s="1"/>
  <c r="L41" i="1"/>
  <c r="L42" i="1"/>
  <c r="L43" i="1"/>
  <c r="L44" i="1"/>
  <c r="L45" i="1"/>
  <c r="L46" i="1"/>
  <c r="L47" i="1"/>
  <c r="L48" i="1"/>
  <c r="L49" i="1"/>
  <c r="L50" i="1"/>
  <c r="L51" i="1"/>
  <c r="L52" i="1"/>
  <c r="M52" i="1" s="1"/>
  <c r="L2" i="1"/>
  <c r="K53" i="1"/>
  <c r="M3" i="1"/>
  <c r="M9" i="1"/>
  <c r="M10" i="1"/>
  <c r="M11" i="1"/>
  <c r="M12" i="1"/>
  <c r="M13" i="1"/>
  <c r="M14" i="1"/>
  <c r="M15" i="1"/>
  <c r="M16" i="1"/>
  <c r="M17" i="1"/>
  <c r="M18" i="1"/>
  <c r="M19" i="1"/>
  <c r="M25" i="1"/>
  <c r="M26" i="1"/>
  <c r="M27" i="1"/>
  <c r="M28" i="1"/>
  <c r="M29" i="1"/>
  <c r="M30" i="1"/>
  <c r="M31" i="1"/>
  <c r="M32" i="1"/>
  <c r="M33" i="1"/>
  <c r="M34" i="1"/>
  <c r="M35" i="1"/>
  <c r="M41" i="1"/>
  <c r="M42" i="1"/>
  <c r="M43" i="1"/>
  <c r="M44" i="1"/>
  <c r="M45" i="1"/>
  <c r="M46" i="1"/>
  <c r="M47" i="1"/>
  <c r="M48" i="1"/>
  <c r="M49" i="1"/>
  <c r="M50" i="1"/>
  <c r="M5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J5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J2" i="1"/>
  <c r="E4" i="1"/>
  <c r="E7" i="1" s="1"/>
  <c r="E8" i="1" s="1"/>
  <c r="E3" i="1"/>
  <c r="E6" i="1"/>
  <c r="E5" i="1"/>
  <c r="L53" i="1" l="1"/>
  <c r="M53" i="1" s="1"/>
  <c r="M54" i="1"/>
</calcChain>
</file>

<file path=xl/sharedStrings.xml><?xml version="1.0" encoding="utf-8"?>
<sst xmlns="http://schemas.openxmlformats.org/spreadsheetml/2006/main" count="23" uniqueCount="22">
  <si>
    <t>biomasse_photosynthetique_g</t>
  </si>
  <si>
    <t>graines</t>
  </si>
  <si>
    <t>covar</t>
  </si>
  <si>
    <t>var</t>
  </si>
  <si>
    <t>moy x</t>
  </si>
  <si>
    <t xml:space="preserve">moy y </t>
  </si>
  <si>
    <t>a</t>
  </si>
  <si>
    <t>b</t>
  </si>
  <si>
    <t xml:space="preserve">yi chap </t>
  </si>
  <si>
    <t>SCEE</t>
  </si>
  <si>
    <t>SCER</t>
  </si>
  <si>
    <t>SCET</t>
  </si>
  <si>
    <t xml:space="preserve">somme </t>
  </si>
  <si>
    <t>Sources de variance</t>
  </si>
  <si>
    <t xml:space="preserve"> Sommes des carrés des écarts </t>
  </si>
  <si>
    <t xml:space="preserve">ddl </t>
  </si>
  <si>
    <t>Carrés Moyens Statistique</t>
  </si>
  <si>
    <t>Résidus</t>
  </si>
  <si>
    <t>Totale</t>
  </si>
  <si>
    <t>F</t>
  </si>
  <si>
    <t>r</t>
  </si>
  <si>
    <t>r**2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</si>
</sst>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Feuille1!$B$1</c:f>
              <c:strCache>
                <c:ptCount val="1"/>
                <c:pt idx="0">
                  <c:v>graines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388692038495189"/>
                  <c:y val="-0.20248295175574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Feuille1!$A$2:$A$52</c:f>
              <c:numCache>
                <c:formatCode>General</c:formatCode>
                <c:ptCount val="51"/>
                <c:pt idx="0">
                  <c:v>45.81</c:v>
                </c:pt>
                <c:pt idx="1">
                  <c:v>48.7</c:v>
                </c:pt>
                <c:pt idx="2">
                  <c:v>72.760000000000005</c:v>
                </c:pt>
                <c:pt idx="3">
                  <c:v>83.09</c:v>
                </c:pt>
                <c:pt idx="4">
                  <c:v>93.5</c:v>
                </c:pt>
                <c:pt idx="5">
                  <c:v>78.7</c:v>
                </c:pt>
                <c:pt idx="6">
                  <c:v>86.18</c:v>
                </c:pt>
                <c:pt idx="7">
                  <c:v>87.08</c:v>
                </c:pt>
                <c:pt idx="8">
                  <c:v>164.47</c:v>
                </c:pt>
                <c:pt idx="9">
                  <c:v>85.98</c:v>
                </c:pt>
                <c:pt idx="10">
                  <c:v>127.29</c:v>
                </c:pt>
                <c:pt idx="11">
                  <c:v>142.43</c:v>
                </c:pt>
                <c:pt idx="12">
                  <c:v>141.55000000000001</c:v>
                </c:pt>
                <c:pt idx="13">
                  <c:v>202.21</c:v>
                </c:pt>
                <c:pt idx="14">
                  <c:v>156.33000000000001</c:v>
                </c:pt>
                <c:pt idx="15">
                  <c:v>161.93</c:v>
                </c:pt>
                <c:pt idx="16">
                  <c:v>219.87</c:v>
                </c:pt>
                <c:pt idx="17">
                  <c:v>156.6</c:v>
                </c:pt>
                <c:pt idx="18">
                  <c:v>225.93</c:v>
                </c:pt>
                <c:pt idx="19">
                  <c:v>289.85000000000002</c:v>
                </c:pt>
                <c:pt idx="20">
                  <c:v>221.14</c:v>
                </c:pt>
                <c:pt idx="21">
                  <c:v>254.16</c:v>
                </c:pt>
                <c:pt idx="22">
                  <c:v>258.52999999999997</c:v>
                </c:pt>
                <c:pt idx="23">
                  <c:v>215.23</c:v>
                </c:pt>
                <c:pt idx="24">
                  <c:v>234.4</c:v>
                </c:pt>
                <c:pt idx="25">
                  <c:v>309.56</c:v>
                </c:pt>
                <c:pt idx="26">
                  <c:v>265.60000000000002</c:v>
                </c:pt>
                <c:pt idx="27">
                  <c:v>332.25</c:v>
                </c:pt>
                <c:pt idx="28">
                  <c:v>306.81</c:v>
                </c:pt>
                <c:pt idx="29">
                  <c:v>321.10000000000002</c:v>
                </c:pt>
                <c:pt idx="30">
                  <c:v>278.13</c:v>
                </c:pt>
                <c:pt idx="31">
                  <c:v>359.41</c:v>
                </c:pt>
                <c:pt idx="32">
                  <c:v>332.38</c:v>
                </c:pt>
                <c:pt idx="33">
                  <c:v>312.32</c:v>
                </c:pt>
                <c:pt idx="34">
                  <c:v>394.78</c:v>
                </c:pt>
                <c:pt idx="35">
                  <c:v>350.82</c:v>
                </c:pt>
                <c:pt idx="36">
                  <c:v>395.75</c:v>
                </c:pt>
                <c:pt idx="37">
                  <c:v>430.91</c:v>
                </c:pt>
                <c:pt idx="38">
                  <c:v>364.84</c:v>
                </c:pt>
                <c:pt idx="39">
                  <c:v>417.49</c:v>
                </c:pt>
                <c:pt idx="40">
                  <c:v>426.19</c:v>
                </c:pt>
                <c:pt idx="41">
                  <c:v>401.4</c:v>
                </c:pt>
                <c:pt idx="42">
                  <c:v>382.92</c:v>
                </c:pt>
                <c:pt idx="43">
                  <c:v>442.44</c:v>
                </c:pt>
                <c:pt idx="44">
                  <c:v>491.13</c:v>
                </c:pt>
                <c:pt idx="45">
                  <c:v>450.32</c:v>
                </c:pt>
                <c:pt idx="46">
                  <c:v>412.21</c:v>
                </c:pt>
                <c:pt idx="47">
                  <c:v>481.66</c:v>
                </c:pt>
                <c:pt idx="48">
                  <c:v>466.47</c:v>
                </c:pt>
                <c:pt idx="49">
                  <c:v>456.46</c:v>
                </c:pt>
                <c:pt idx="50">
                  <c:v>499.84</c:v>
                </c:pt>
              </c:numCache>
            </c:numRef>
          </c:xVal>
          <c:yVal>
            <c:numRef>
              <c:f>Feuille1!$B$2:$B$52</c:f>
              <c:numCache>
                <c:formatCode>General</c:formatCode>
                <c:ptCount val="51"/>
                <c:pt idx="0">
                  <c:v>308</c:v>
                </c:pt>
                <c:pt idx="1">
                  <c:v>0</c:v>
                </c:pt>
                <c:pt idx="2">
                  <c:v>467</c:v>
                </c:pt>
                <c:pt idx="3">
                  <c:v>616</c:v>
                </c:pt>
                <c:pt idx="4">
                  <c:v>902</c:v>
                </c:pt>
                <c:pt idx="5">
                  <c:v>47</c:v>
                </c:pt>
                <c:pt idx="6">
                  <c:v>308</c:v>
                </c:pt>
                <c:pt idx="7">
                  <c:v>104</c:v>
                </c:pt>
                <c:pt idx="8">
                  <c:v>521</c:v>
                </c:pt>
                <c:pt idx="9">
                  <c:v>672</c:v>
                </c:pt>
                <c:pt idx="10">
                  <c:v>428</c:v>
                </c:pt>
                <c:pt idx="11">
                  <c:v>548</c:v>
                </c:pt>
                <c:pt idx="12">
                  <c:v>764</c:v>
                </c:pt>
                <c:pt idx="13">
                  <c:v>828</c:v>
                </c:pt>
                <c:pt idx="14">
                  <c:v>389</c:v>
                </c:pt>
                <c:pt idx="15">
                  <c:v>921</c:v>
                </c:pt>
                <c:pt idx="16">
                  <c:v>953</c:v>
                </c:pt>
                <c:pt idx="17">
                  <c:v>348</c:v>
                </c:pt>
                <c:pt idx="18">
                  <c:v>696</c:v>
                </c:pt>
                <c:pt idx="19">
                  <c:v>1170</c:v>
                </c:pt>
                <c:pt idx="20">
                  <c:v>521</c:v>
                </c:pt>
                <c:pt idx="21">
                  <c:v>773</c:v>
                </c:pt>
                <c:pt idx="22">
                  <c:v>915</c:v>
                </c:pt>
                <c:pt idx="23">
                  <c:v>786</c:v>
                </c:pt>
                <c:pt idx="24">
                  <c:v>1164</c:v>
                </c:pt>
                <c:pt idx="25">
                  <c:v>1183</c:v>
                </c:pt>
                <c:pt idx="26">
                  <c:v>855</c:v>
                </c:pt>
                <c:pt idx="27">
                  <c:v>1433</c:v>
                </c:pt>
                <c:pt idx="28">
                  <c:v>1014</c:v>
                </c:pt>
                <c:pt idx="29">
                  <c:v>1174</c:v>
                </c:pt>
                <c:pt idx="30">
                  <c:v>921</c:v>
                </c:pt>
                <c:pt idx="31">
                  <c:v>1240</c:v>
                </c:pt>
                <c:pt idx="32">
                  <c:v>1317</c:v>
                </c:pt>
                <c:pt idx="33">
                  <c:v>842</c:v>
                </c:pt>
                <c:pt idx="34">
                  <c:v>988</c:v>
                </c:pt>
                <c:pt idx="35">
                  <c:v>1195</c:v>
                </c:pt>
                <c:pt idx="36">
                  <c:v>1459</c:v>
                </c:pt>
                <c:pt idx="37">
                  <c:v>1178</c:v>
                </c:pt>
                <c:pt idx="38">
                  <c:v>1366</c:v>
                </c:pt>
                <c:pt idx="39">
                  <c:v>1566</c:v>
                </c:pt>
                <c:pt idx="40">
                  <c:v>1477</c:v>
                </c:pt>
                <c:pt idx="41">
                  <c:v>1366</c:v>
                </c:pt>
                <c:pt idx="42">
                  <c:v>1224</c:v>
                </c:pt>
                <c:pt idx="43">
                  <c:v>1147</c:v>
                </c:pt>
                <c:pt idx="44">
                  <c:v>1212</c:v>
                </c:pt>
                <c:pt idx="45">
                  <c:v>1541</c:v>
                </c:pt>
                <c:pt idx="46">
                  <c:v>1841</c:v>
                </c:pt>
                <c:pt idx="47">
                  <c:v>1643</c:v>
                </c:pt>
                <c:pt idx="48">
                  <c:v>1782</c:v>
                </c:pt>
                <c:pt idx="49">
                  <c:v>1683</c:v>
                </c:pt>
                <c:pt idx="50">
                  <c:v>1446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B-4594-AFF2-CF52BC15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393664"/>
        <c:axId val="1078386592"/>
      </c:scatterChart>
      <c:valAx>
        <c:axId val="107839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8386592"/>
        <c:crosses val="autoZero"/>
        <c:crossBetween val="midCat"/>
      </c:valAx>
      <c:valAx>
        <c:axId val="10783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839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11</xdr:row>
      <xdr:rowOff>47625</xdr:rowOff>
    </xdr:from>
    <xdr:to>
      <xdr:col>8</xdr:col>
      <xdr:colOff>746125</xdr:colOff>
      <xdr:row>28</xdr:row>
      <xdr:rowOff>98425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F483D03-0EA5-485B-BFBA-0D87FB259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D66" sqref="D66"/>
    </sheetView>
  </sheetViews>
  <sheetFormatPr baseColWidth="10" defaultColWidth="11.54296875" defaultRowHeight="12.5" x14ac:dyDescent="0.25"/>
  <cols>
    <col min="1" max="1" width="26.54296875" bestFit="1" customWidth="1"/>
    <col min="2" max="2" width="7.453125" customWidth="1"/>
    <col min="3" max="3" width="24.90625" customWidth="1"/>
    <col min="4" max="4" width="28.453125" customWidth="1"/>
    <col min="5" max="5" width="12.08984375" customWidth="1"/>
    <col min="6" max="6" width="23.7265625" customWidth="1"/>
    <col min="7" max="7" width="18.08984375" customWidth="1"/>
  </cols>
  <sheetData>
    <row r="1" spans="1:13" x14ac:dyDescent="0.25">
      <c r="A1" t="s">
        <v>0</v>
      </c>
      <c r="B1" t="s">
        <v>1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45.81</v>
      </c>
      <c r="B2">
        <v>308</v>
      </c>
      <c r="J2">
        <f>E$8+(E$7*A2)</f>
        <v>283.53439287579181</v>
      </c>
      <c r="K2">
        <f>(J2-E$6)^2</f>
        <v>465117.20578929025</v>
      </c>
      <c r="L2">
        <f>(J2-B2)^2</f>
        <v>598.56593195610662</v>
      </c>
      <c r="M2">
        <f>K2+L2</f>
        <v>465715.77172124636</v>
      </c>
    </row>
    <row r="3" spans="1:13" x14ac:dyDescent="0.25">
      <c r="A3">
        <v>48.7</v>
      </c>
      <c r="B3">
        <v>0</v>
      </c>
      <c r="D3" t="s">
        <v>3</v>
      </c>
      <c r="E3">
        <f>_xlfn.VAR.S(A2:A52)</f>
        <v>18682.163100313741</v>
      </c>
      <c r="J3">
        <f>E$8+(E$7*A3)</f>
        <v>292.19939691299999</v>
      </c>
      <c r="K3">
        <f t="shared" ref="K3:K52" si="0">(J3-E$6)^2</f>
        <v>453373.30890019843</v>
      </c>
      <c r="L3">
        <f t="shared" ref="L3:L52" si="1">(J3-B3)^2</f>
        <v>85380.487556320906</v>
      </c>
      <c r="M3">
        <f t="shared" ref="M3:M53" si="2">K3+L3</f>
        <v>538753.79645651928</v>
      </c>
    </row>
    <row r="4" spans="1:13" x14ac:dyDescent="0.25">
      <c r="A4">
        <v>72.760000000000005</v>
      </c>
      <c r="B4">
        <v>467</v>
      </c>
      <c r="D4" t="s">
        <v>2</v>
      </c>
      <c r="E4">
        <f>_xlfn.COVARIANCE.S(A2:A52,B2:B52)</f>
        <v>56014.193317647056</v>
      </c>
      <c r="J4">
        <f>E$8+(E$7*A4)</f>
        <v>364.33780422622783</v>
      </c>
      <c r="K4">
        <f t="shared" si="0"/>
        <v>361431.34897469939</v>
      </c>
      <c r="L4">
        <f t="shared" si="1"/>
        <v>10539.526441092325</v>
      </c>
      <c r="M4">
        <f t="shared" si="2"/>
        <v>371970.8754157917</v>
      </c>
    </row>
    <row r="5" spans="1:13" x14ac:dyDescent="0.25">
      <c r="A5">
        <v>83.09</v>
      </c>
      <c r="B5">
        <v>616</v>
      </c>
      <c r="D5" t="s">
        <v>4</v>
      </c>
      <c r="E5">
        <f>AVERAGE(A2:A52)</f>
        <v>273.27274509803919</v>
      </c>
      <c r="J5">
        <f>E$8+(E$7*A5)</f>
        <v>395.30994668448398</v>
      </c>
      <c r="K5">
        <f t="shared" si="0"/>
        <v>325150.23835637438</v>
      </c>
      <c r="L5">
        <f t="shared" si="1"/>
        <v>48704.099632405305</v>
      </c>
      <c r="M5">
        <f t="shared" si="2"/>
        <v>373854.33798877971</v>
      </c>
    </row>
    <row r="6" spans="1:13" x14ac:dyDescent="0.25">
      <c r="A6">
        <v>93.5</v>
      </c>
      <c r="B6">
        <v>902</v>
      </c>
      <c r="D6" t="s">
        <v>5</v>
      </c>
      <c r="E6">
        <f>AVERAGE(B2:B52)</f>
        <v>965.52941176470586</v>
      </c>
      <c r="J6">
        <f>E$8+(E$7*A6)</f>
        <v>426.52195084619228</v>
      </c>
      <c r="K6">
        <f t="shared" si="0"/>
        <v>290529.0429258229</v>
      </c>
      <c r="L6">
        <f t="shared" si="1"/>
        <v>226079.37522711078</v>
      </c>
      <c r="M6">
        <f t="shared" si="2"/>
        <v>516608.41815293371</v>
      </c>
    </row>
    <row r="7" spans="1:13" x14ac:dyDescent="0.25">
      <c r="A7">
        <v>78.7</v>
      </c>
      <c r="B7">
        <v>47</v>
      </c>
      <c r="D7" t="s">
        <v>6</v>
      </c>
      <c r="E7">
        <f>E4/E3</f>
        <v>2.9982712931516144</v>
      </c>
      <c r="J7">
        <f>E$8+(E$7*A7)</f>
        <v>382.1475357075484</v>
      </c>
      <c r="K7">
        <f t="shared" si="0"/>
        <v>340334.41331196862</v>
      </c>
      <c r="L7">
        <f t="shared" si="1"/>
        <v>112323.87069084244</v>
      </c>
      <c r="M7">
        <f t="shared" si="2"/>
        <v>452658.28400281107</v>
      </c>
    </row>
    <row r="8" spans="1:13" x14ac:dyDescent="0.25">
      <c r="A8">
        <v>86.18</v>
      </c>
      <c r="B8">
        <v>308</v>
      </c>
      <c r="D8" t="s">
        <v>7</v>
      </c>
      <c r="E8">
        <f>E6-(E7*E5)</f>
        <v>146.18358493651635</v>
      </c>
      <c r="J8">
        <f>E$8+(E$7*A8)</f>
        <v>404.57460498032253</v>
      </c>
      <c r="K8">
        <f t="shared" si="0"/>
        <v>314670.29525450483</v>
      </c>
      <c r="L8">
        <f t="shared" si="1"/>
        <v>9326.6543271053379</v>
      </c>
      <c r="M8">
        <f t="shared" si="2"/>
        <v>323996.94958161016</v>
      </c>
    </row>
    <row r="9" spans="1:13" x14ac:dyDescent="0.25">
      <c r="A9">
        <v>87.08</v>
      </c>
      <c r="B9">
        <v>104</v>
      </c>
      <c r="J9">
        <f>E$8+(E$7*A9)</f>
        <v>407.27304914415896</v>
      </c>
      <c r="K9">
        <f t="shared" si="0"/>
        <v>311650.16640632361</v>
      </c>
      <c r="L9">
        <f t="shared" si="1"/>
        <v>91974.542337195453</v>
      </c>
      <c r="M9">
        <f t="shared" si="2"/>
        <v>403624.70874351903</v>
      </c>
    </row>
    <row r="10" spans="1:13" x14ac:dyDescent="0.25">
      <c r="A10">
        <v>164.47</v>
      </c>
      <c r="B10">
        <v>521</v>
      </c>
      <c r="J10">
        <f>E$8+(E$7*A10)</f>
        <v>639.30926452116239</v>
      </c>
      <c r="K10">
        <f t="shared" si="0"/>
        <v>106419.58446759918</v>
      </c>
      <c r="L10">
        <f t="shared" si="1"/>
        <v>13997.082071538374</v>
      </c>
      <c r="M10">
        <f t="shared" si="2"/>
        <v>120416.66653913756</v>
      </c>
    </row>
    <row r="11" spans="1:13" x14ac:dyDescent="0.25">
      <c r="A11">
        <v>85.98</v>
      </c>
      <c r="B11">
        <v>672</v>
      </c>
      <c r="J11">
        <f>E$8+(E$7*A11)</f>
        <v>403.97495072169215</v>
      </c>
      <c r="K11">
        <f t="shared" si="0"/>
        <v>315343.41271730961</v>
      </c>
      <c r="L11">
        <f t="shared" si="1"/>
        <v>71837.427040639348</v>
      </c>
      <c r="M11">
        <f t="shared" si="2"/>
        <v>387180.83975794894</v>
      </c>
    </row>
    <row r="12" spans="1:13" x14ac:dyDescent="0.25">
      <c r="A12">
        <v>127.29</v>
      </c>
      <c r="B12">
        <v>428</v>
      </c>
      <c r="J12">
        <f>E$8+(E$7*A12)</f>
        <v>527.8335378417853</v>
      </c>
      <c r="K12">
        <f t="shared" si="0"/>
        <v>191577.67804914917</v>
      </c>
      <c r="L12">
        <f t="shared" si="1"/>
        <v>9966.7352780071778</v>
      </c>
      <c r="M12">
        <f t="shared" si="2"/>
        <v>201544.41332715633</v>
      </c>
    </row>
    <row r="13" spans="1:13" x14ac:dyDescent="0.25">
      <c r="A13">
        <v>142.43</v>
      </c>
      <c r="B13">
        <v>548</v>
      </c>
      <c r="J13">
        <f>E$8+(E$7*A13)</f>
        <v>573.22736522010086</v>
      </c>
      <c r="K13">
        <f t="shared" si="0"/>
        <v>153900.89572308541</v>
      </c>
      <c r="L13">
        <f t="shared" si="1"/>
        <v>636.41995594835475</v>
      </c>
      <c r="M13">
        <f t="shared" si="2"/>
        <v>154537.31567903378</v>
      </c>
    </row>
    <row r="14" spans="1:13" x14ac:dyDescent="0.25">
      <c r="A14">
        <v>141.55000000000001</v>
      </c>
      <c r="B14">
        <v>764</v>
      </c>
      <c r="J14">
        <f>E$8+(E$7*A14)</f>
        <v>570.58888648212746</v>
      </c>
      <c r="K14">
        <f t="shared" si="0"/>
        <v>155978.01851047896</v>
      </c>
      <c r="L14">
        <f t="shared" si="1"/>
        <v>37407.858832223377</v>
      </c>
      <c r="M14">
        <f t="shared" si="2"/>
        <v>193385.87734270233</v>
      </c>
    </row>
    <row r="15" spans="1:13" x14ac:dyDescent="0.25">
      <c r="A15">
        <v>202.21</v>
      </c>
      <c r="B15">
        <v>828</v>
      </c>
      <c r="J15">
        <f>E$8+(E$7*A15)</f>
        <v>752.46402312470434</v>
      </c>
      <c r="K15">
        <f t="shared" si="0"/>
        <v>45396.859836314885</v>
      </c>
      <c r="L15">
        <f t="shared" si="1"/>
        <v>5705.6838025052002</v>
      </c>
      <c r="M15">
        <f t="shared" si="2"/>
        <v>51102.543638820083</v>
      </c>
    </row>
    <row r="16" spans="1:13" x14ac:dyDescent="0.25">
      <c r="A16">
        <v>156.33000000000001</v>
      </c>
      <c r="B16">
        <v>389</v>
      </c>
      <c r="J16">
        <f>E$8+(E$7*A16)</f>
        <v>614.90333619490821</v>
      </c>
      <c r="K16">
        <f t="shared" si="0"/>
        <v>122938.64486947746</v>
      </c>
      <c r="L16">
        <f t="shared" si="1"/>
        <v>51032.317303989723</v>
      </c>
      <c r="M16">
        <f t="shared" si="2"/>
        <v>173970.96217346718</v>
      </c>
    </row>
    <row r="17" spans="1:13" x14ac:dyDescent="0.25">
      <c r="A17">
        <v>161.93</v>
      </c>
      <c r="B17">
        <v>921</v>
      </c>
      <c r="J17">
        <f>E$8+(E$7*A17)</f>
        <v>631.69365543655726</v>
      </c>
      <c r="K17">
        <f t="shared" si="0"/>
        <v>111446.312203187</v>
      </c>
      <c r="L17">
        <f t="shared" si="1"/>
        <v>83698.161004661451</v>
      </c>
      <c r="M17">
        <f t="shared" si="2"/>
        <v>195144.47320784844</v>
      </c>
    </row>
    <row r="18" spans="1:13" x14ac:dyDescent="0.25">
      <c r="A18">
        <v>219.87</v>
      </c>
      <c r="B18">
        <v>953</v>
      </c>
      <c r="J18">
        <f>E$8+(E$7*A18)</f>
        <v>805.41349416176183</v>
      </c>
      <c r="K18">
        <f t="shared" si="0"/>
        <v>25637.10706983276</v>
      </c>
      <c r="L18">
        <f t="shared" si="1"/>
        <v>21781.776705540309</v>
      </c>
      <c r="M18">
        <f t="shared" si="2"/>
        <v>47418.88377537307</v>
      </c>
    </row>
    <row r="19" spans="1:13" x14ac:dyDescent="0.25">
      <c r="A19">
        <v>156.6</v>
      </c>
      <c r="B19">
        <v>348</v>
      </c>
      <c r="J19">
        <f>E$8+(E$7*A19)</f>
        <v>615.71286944405915</v>
      </c>
      <c r="K19">
        <f t="shared" si="0"/>
        <v>122371.6132811728</v>
      </c>
      <c r="L19">
        <f t="shared" si="1"/>
        <v>71670.180465971862</v>
      </c>
      <c r="M19">
        <f t="shared" si="2"/>
        <v>194041.79374714466</v>
      </c>
    </row>
    <row r="20" spans="1:13" x14ac:dyDescent="0.25">
      <c r="A20">
        <v>225.93</v>
      </c>
      <c r="B20">
        <v>696</v>
      </c>
      <c r="J20">
        <f>E$8+(E$7*A20)</f>
        <v>823.58301819826067</v>
      </c>
      <c r="K20">
        <f t="shared" si="0"/>
        <v>20148.77864652015</v>
      </c>
      <c r="L20">
        <f t="shared" si="1"/>
        <v>16277.426532577714</v>
      </c>
      <c r="M20">
        <f t="shared" si="2"/>
        <v>36426.205179097866</v>
      </c>
    </row>
    <row r="21" spans="1:13" x14ac:dyDescent="0.25">
      <c r="A21">
        <v>289.85000000000002</v>
      </c>
      <c r="B21">
        <v>1170</v>
      </c>
      <c r="J21">
        <f>E$8+(E$7*A21)</f>
        <v>1015.2325192565119</v>
      </c>
      <c r="K21">
        <f t="shared" si="0"/>
        <v>2470.3988943420227</v>
      </c>
      <c r="L21">
        <f t="shared" si="1"/>
        <v>23952.973095685971</v>
      </c>
      <c r="M21">
        <f t="shared" si="2"/>
        <v>26423.371990027994</v>
      </c>
    </row>
    <row r="22" spans="1:13" x14ac:dyDescent="0.25">
      <c r="A22">
        <v>221.14</v>
      </c>
      <c r="B22">
        <v>521</v>
      </c>
      <c r="J22">
        <f>E$8+(E$7*A22)</f>
        <v>809.22129870406434</v>
      </c>
      <c r="K22">
        <f t="shared" si="0"/>
        <v>24432.22620857829</v>
      </c>
      <c r="L22">
        <f t="shared" si="1"/>
        <v>83071.517026657486</v>
      </c>
      <c r="M22">
        <f t="shared" si="2"/>
        <v>107503.74323523577</v>
      </c>
    </row>
    <row r="23" spans="1:13" x14ac:dyDescent="0.25">
      <c r="A23">
        <v>254.16</v>
      </c>
      <c r="B23">
        <v>773</v>
      </c>
      <c r="J23">
        <f>E$8+(E$7*A23)</f>
        <v>908.22421680393063</v>
      </c>
      <c r="K23">
        <f t="shared" si="0"/>
        <v>3283.8853694924583</v>
      </c>
      <c r="L23">
        <f t="shared" si="1"/>
        <v>18285.588810236433</v>
      </c>
      <c r="M23">
        <f t="shared" si="2"/>
        <v>21569.474179728892</v>
      </c>
    </row>
    <row r="24" spans="1:13" x14ac:dyDescent="0.25">
      <c r="A24">
        <v>258.52999999999997</v>
      </c>
      <c r="B24">
        <v>915</v>
      </c>
      <c r="J24">
        <f>E$8+(E$7*A24)</f>
        <v>921.32666235500312</v>
      </c>
      <c r="K24">
        <f t="shared" si="0"/>
        <v>1953.8830553769753</v>
      </c>
      <c r="L24">
        <f t="shared" si="1"/>
        <v>40.026656554213659</v>
      </c>
      <c r="M24">
        <f t="shared" si="2"/>
        <v>1993.9097119311889</v>
      </c>
    </row>
    <row r="25" spans="1:13" x14ac:dyDescent="0.25">
      <c r="A25">
        <v>215.23</v>
      </c>
      <c r="B25">
        <v>786</v>
      </c>
      <c r="J25">
        <f>E$8+(E$7*A25)</f>
        <v>791.50151536153828</v>
      </c>
      <c r="K25">
        <f t="shared" si="0"/>
        <v>30285.708726511624</v>
      </c>
      <c r="L25">
        <f t="shared" si="1"/>
        <v>30.266671273241688</v>
      </c>
      <c r="M25">
        <f t="shared" si="2"/>
        <v>30315.975397784867</v>
      </c>
    </row>
    <row r="26" spans="1:13" x14ac:dyDescent="0.25">
      <c r="A26">
        <v>234.4</v>
      </c>
      <c r="B26">
        <v>1164</v>
      </c>
      <c r="J26">
        <f>E$8+(E$7*A26)</f>
        <v>848.97837605125483</v>
      </c>
      <c r="K26">
        <f t="shared" si="0"/>
        <v>13584.143925878137</v>
      </c>
      <c r="L26">
        <f t="shared" si="1"/>
        <v>99238.623555304614</v>
      </c>
      <c r="M26">
        <f t="shared" si="2"/>
        <v>112822.76748118275</v>
      </c>
    </row>
    <row r="27" spans="1:13" x14ac:dyDescent="0.25">
      <c r="A27">
        <v>309.56</v>
      </c>
      <c r="B27">
        <v>1183</v>
      </c>
      <c r="J27">
        <f>E$8+(E$7*A27)</f>
        <v>1074.3284464445301</v>
      </c>
      <c r="K27">
        <f t="shared" si="0"/>
        <v>11837.229947261592</v>
      </c>
      <c r="L27">
        <f t="shared" si="1"/>
        <v>11809.506552159368</v>
      </c>
      <c r="M27">
        <f t="shared" si="2"/>
        <v>23646.73649942096</v>
      </c>
    </row>
    <row r="28" spans="1:13" x14ac:dyDescent="0.25">
      <c r="A28">
        <v>265.60000000000002</v>
      </c>
      <c r="B28">
        <v>855</v>
      </c>
      <c r="J28">
        <f>E$8+(E$7*A28)</f>
        <v>942.52444039758518</v>
      </c>
      <c r="K28">
        <f t="shared" si="0"/>
        <v>529.22870760204205</v>
      </c>
      <c r="L28">
        <f t="shared" si="1"/>
        <v>7660.5276669104405</v>
      </c>
      <c r="M28">
        <f t="shared" si="2"/>
        <v>8189.7563745124826</v>
      </c>
    </row>
    <row r="29" spans="1:13" x14ac:dyDescent="0.25">
      <c r="A29">
        <v>332.25</v>
      </c>
      <c r="B29">
        <v>1433</v>
      </c>
      <c r="J29">
        <f>E$8+(E$7*A29)</f>
        <v>1142.3592220861401</v>
      </c>
      <c r="K29">
        <f t="shared" si="0"/>
        <v>31268.781818314415</v>
      </c>
      <c r="L29">
        <f t="shared" si="1"/>
        <v>84472.061786373626</v>
      </c>
      <c r="M29">
        <f t="shared" si="2"/>
        <v>115740.84360468804</v>
      </c>
    </row>
    <row r="30" spans="1:13" x14ac:dyDescent="0.25">
      <c r="A30">
        <v>306.81</v>
      </c>
      <c r="B30">
        <v>1014</v>
      </c>
      <c r="J30">
        <f>E$8+(E$7*A30)</f>
        <v>1066.0832003883631</v>
      </c>
      <c r="K30">
        <f t="shared" si="0"/>
        <v>10111.064406571149</v>
      </c>
      <c r="L30">
        <f t="shared" si="1"/>
        <v>2712.6597626943903</v>
      </c>
      <c r="M30">
        <f t="shared" si="2"/>
        <v>12823.724169265541</v>
      </c>
    </row>
    <row r="31" spans="1:13" x14ac:dyDescent="0.25">
      <c r="A31">
        <v>321.10000000000002</v>
      </c>
      <c r="B31">
        <v>1174</v>
      </c>
      <c r="J31">
        <f>E$8+(E$7*A31)</f>
        <v>1108.9284971674997</v>
      </c>
      <c r="K31">
        <f t="shared" si="0"/>
        <v>20563.297694357763</v>
      </c>
      <c r="L31">
        <f t="shared" si="1"/>
        <v>4234.3004808800943</v>
      </c>
      <c r="M31">
        <f t="shared" si="2"/>
        <v>24797.598175237858</v>
      </c>
    </row>
    <row r="32" spans="1:13" x14ac:dyDescent="0.25">
      <c r="A32">
        <v>278.13</v>
      </c>
      <c r="B32">
        <v>921</v>
      </c>
      <c r="J32">
        <f>E$8+(E$7*A32)</f>
        <v>980.09277970077483</v>
      </c>
      <c r="K32">
        <f t="shared" si="0"/>
        <v>212.09168564132182</v>
      </c>
      <c r="L32">
        <f t="shared" si="1"/>
        <v>3491.9566127643056</v>
      </c>
      <c r="M32">
        <f t="shared" si="2"/>
        <v>3704.0482984056275</v>
      </c>
    </row>
    <row r="33" spans="1:13" x14ac:dyDescent="0.25">
      <c r="A33">
        <v>359.41</v>
      </c>
      <c r="B33">
        <v>1240</v>
      </c>
      <c r="J33">
        <f>E$8+(E$7*A33)</f>
        <v>1223.7922704081382</v>
      </c>
      <c r="K33">
        <f t="shared" si="0"/>
        <v>66699.7041546775</v>
      </c>
      <c r="L33">
        <f t="shared" si="1"/>
        <v>262.6904985229138</v>
      </c>
      <c r="M33">
        <f t="shared" si="2"/>
        <v>66962.394653200419</v>
      </c>
    </row>
    <row r="34" spans="1:13" x14ac:dyDescent="0.25">
      <c r="A34">
        <v>332.38</v>
      </c>
      <c r="B34">
        <v>1317</v>
      </c>
      <c r="J34">
        <f>E$8+(E$7*A34)</f>
        <v>1142.7489973542499</v>
      </c>
      <c r="K34">
        <f t="shared" si="0"/>
        <v>31406.781516529736</v>
      </c>
      <c r="L34">
        <f t="shared" si="1"/>
        <v>30363.4119230492</v>
      </c>
      <c r="M34">
        <f t="shared" si="2"/>
        <v>61770.193439578936</v>
      </c>
    </row>
    <row r="35" spans="1:13" x14ac:dyDescent="0.25">
      <c r="A35">
        <v>312.32</v>
      </c>
      <c r="B35">
        <v>842</v>
      </c>
      <c r="J35">
        <f>E$8+(E$7*A35)</f>
        <v>1082.6036752136285</v>
      </c>
      <c r="K35">
        <f t="shared" si="0"/>
        <v>13706.383162107755</v>
      </c>
      <c r="L35">
        <f t="shared" si="1"/>
        <v>57890.128526305256</v>
      </c>
      <c r="M35">
        <f t="shared" si="2"/>
        <v>71596.511688413011</v>
      </c>
    </row>
    <row r="36" spans="1:13" x14ac:dyDescent="0.25">
      <c r="A36">
        <v>394.78</v>
      </c>
      <c r="B36">
        <v>988</v>
      </c>
      <c r="J36">
        <f>E$8+(E$7*A36)</f>
        <v>1329.8411260469106</v>
      </c>
      <c r="K36">
        <f t="shared" si="0"/>
        <v>132723.02516323881</v>
      </c>
      <c r="L36">
        <f t="shared" si="1"/>
        <v>116855.35545701985</v>
      </c>
      <c r="M36">
        <f t="shared" si="2"/>
        <v>249578.38062025866</v>
      </c>
    </row>
    <row r="37" spans="1:13" x14ac:dyDescent="0.25">
      <c r="A37">
        <v>350.82</v>
      </c>
      <c r="B37">
        <v>1195</v>
      </c>
      <c r="J37">
        <f>E$8+(E$7*A37)</f>
        <v>1198.0371199999656</v>
      </c>
      <c r="K37">
        <f t="shared" si="0"/>
        <v>54059.834388812684</v>
      </c>
      <c r="L37">
        <f t="shared" si="1"/>
        <v>9.2240978941912015</v>
      </c>
      <c r="M37">
        <f t="shared" si="2"/>
        <v>54069.058486706876</v>
      </c>
    </row>
    <row r="38" spans="1:13" x14ac:dyDescent="0.25">
      <c r="A38">
        <v>395.75</v>
      </c>
      <c r="B38">
        <v>1459</v>
      </c>
      <c r="J38">
        <f>E$8+(E$7*A38)</f>
        <v>1332.7494492012677</v>
      </c>
      <c r="K38">
        <f t="shared" si="0"/>
        <v>134850.55589490986</v>
      </c>
      <c r="L38">
        <f t="shared" si="1"/>
        <v>15939.201576983291</v>
      </c>
      <c r="M38">
        <f t="shared" si="2"/>
        <v>150789.75747189316</v>
      </c>
    </row>
    <row r="39" spans="1:13" x14ac:dyDescent="0.25">
      <c r="A39">
        <v>430.91</v>
      </c>
      <c r="B39">
        <v>1178</v>
      </c>
      <c r="J39">
        <f>E$8+(E$7*A39)</f>
        <v>1438.1686678684787</v>
      </c>
      <c r="K39">
        <f t="shared" si="0"/>
        <v>223387.86641032776</v>
      </c>
      <c r="L39">
        <f t="shared" si="1"/>
        <v>67687.735740458767</v>
      </c>
      <c r="M39">
        <f t="shared" si="2"/>
        <v>291075.60215078655</v>
      </c>
    </row>
    <row r="40" spans="1:13" x14ac:dyDescent="0.25">
      <c r="A40">
        <v>364.84</v>
      </c>
      <c r="B40">
        <v>1366</v>
      </c>
      <c r="J40">
        <f>E$8+(E$7*A40)</f>
        <v>1240.0728835299512</v>
      </c>
      <c r="K40">
        <f t="shared" si="0"/>
        <v>75374.117888914087</v>
      </c>
      <c r="L40">
        <f t="shared" si="1"/>
        <v>15857.638662461226</v>
      </c>
      <c r="M40">
        <f t="shared" si="2"/>
        <v>91231.756551375307</v>
      </c>
    </row>
    <row r="41" spans="1:13" x14ac:dyDescent="0.25">
      <c r="A41">
        <v>417.49</v>
      </c>
      <c r="B41">
        <v>1566</v>
      </c>
      <c r="J41">
        <f>E$8+(E$7*A41)</f>
        <v>1397.931867114384</v>
      </c>
      <c r="K41">
        <f t="shared" si="0"/>
        <v>186971.88339243038</v>
      </c>
      <c r="L41">
        <f t="shared" si="1"/>
        <v>28246.897291657086</v>
      </c>
      <c r="M41">
        <f t="shared" si="2"/>
        <v>215218.78068408745</v>
      </c>
    </row>
    <row r="42" spans="1:13" ht="13" customHeight="1" x14ac:dyDescent="0.25">
      <c r="A42">
        <v>426.19</v>
      </c>
      <c r="B42">
        <v>1477</v>
      </c>
      <c r="J42">
        <f>E$8+(E$7*A42)</f>
        <v>1424.016827364803</v>
      </c>
      <c r="K42">
        <f t="shared" si="0"/>
        <v>210210.71026365622</v>
      </c>
      <c r="L42">
        <f t="shared" si="1"/>
        <v>2807.2165824910862</v>
      </c>
      <c r="M42">
        <f t="shared" si="2"/>
        <v>213017.92684614731</v>
      </c>
    </row>
    <row r="43" spans="1:13" x14ac:dyDescent="0.25">
      <c r="A43">
        <v>401.4</v>
      </c>
      <c r="B43">
        <v>1366</v>
      </c>
      <c r="J43">
        <f>E$8+(E$7*A43)</f>
        <v>1349.6896820075742</v>
      </c>
      <c r="K43">
        <f t="shared" si="0"/>
        <v>147579.11323307364</v>
      </c>
      <c r="L43">
        <f t="shared" si="1"/>
        <v>266.02647301404812</v>
      </c>
      <c r="M43">
        <f t="shared" si="2"/>
        <v>147845.13970608771</v>
      </c>
    </row>
    <row r="44" spans="1:13" x14ac:dyDescent="0.25">
      <c r="A44">
        <v>382.92</v>
      </c>
      <c r="B44">
        <v>1224</v>
      </c>
      <c r="J44">
        <f>E$8+(E$7*A44)</f>
        <v>1294.2816285101326</v>
      </c>
      <c r="K44">
        <f t="shared" si="0"/>
        <v>108078.02001503203</v>
      </c>
      <c r="L44">
        <f t="shared" si="1"/>
        <v>4939.5073060362802</v>
      </c>
      <c r="M44">
        <f t="shared" si="2"/>
        <v>113017.52732106831</v>
      </c>
    </row>
    <row r="45" spans="1:13" x14ac:dyDescent="0.25">
      <c r="A45">
        <v>442.44</v>
      </c>
      <c r="B45">
        <v>1147</v>
      </c>
      <c r="J45">
        <f>E$8+(E$7*A45)</f>
        <v>1472.7387358785165</v>
      </c>
      <c r="K45">
        <f t="shared" si="0"/>
        <v>257261.29846798864</v>
      </c>
      <c r="L45">
        <f t="shared" si="1"/>
        <v>106105.72405173395</v>
      </c>
      <c r="M45">
        <f t="shared" si="2"/>
        <v>363367.02251972258</v>
      </c>
    </row>
    <row r="46" spans="1:13" x14ac:dyDescent="0.25">
      <c r="A46">
        <v>491.13</v>
      </c>
      <c r="B46">
        <v>1212</v>
      </c>
      <c r="J46">
        <f>E$8+(E$7*A46)</f>
        <v>1618.7245651420687</v>
      </c>
      <c r="K46">
        <f t="shared" si="0"/>
        <v>426663.90839567664</v>
      </c>
      <c r="L46">
        <f t="shared" si="1"/>
        <v>165424.87189000493</v>
      </c>
      <c r="M46">
        <f t="shared" si="2"/>
        <v>592088.7802856816</v>
      </c>
    </row>
    <row r="47" spans="1:13" x14ac:dyDescent="0.25">
      <c r="A47">
        <v>450.32</v>
      </c>
      <c r="B47">
        <v>1541</v>
      </c>
      <c r="J47">
        <f>E$8+(E$7*A47)</f>
        <v>1496.3651136685514</v>
      </c>
      <c r="K47">
        <f t="shared" si="0"/>
        <v>281786.54241574841</v>
      </c>
      <c r="L47">
        <f t="shared" si="1"/>
        <v>1992.2730778213343</v>
      </c>
      <c r="M47">
        <f t="shared" si="2"/>
        <v>283778.81549356977</v>
      </c>
    </row>
    <row r="48" spans="1:13" x14ac:dyDescent="0.25">
      <c r="A48">
        <v>412.21</v>
      </c>
      <c r="B48">
        <v>1841</v>
      </c>
      <c r="J48">
        <f>E$8+(E$7*A48)</f>
        <v>1382.1009946865433</v>
      </c>
      <c r="K48">
        <f t="shared" si="0"/>
        <v>173531.88369800532</v>
      </c>
      <c r="L48">
        <f t="shared" si="1"/>
        <v>210588.29707767992</v>
      </c>
      <c r="M48">
        <f t="shared" si="2"/>
        <v>384120.18077568524</v>
      </c>
    </row>
    <row r="49" spans="1:13" x14ac:dyDescent="0.25">
      <c r="A49">
        <v>481.66</v>
      </c>
      <c r="B49">
        <v>1643</v>
      </c>
      <c r="J49">
        <f>E$8+(E$7*A49)</f>
        <v>1590.330935995923</v>
      </c>
      <c r="K49">
        <f t="shared" si="0"/>
        <v>390376.94468165224</v>
      </c>
      <c r="L49">
        <f t="shared" si="1"/>
        <v>2774.0303030655568</v>
      </c>
      <c r="M49">
        <f t="shared" si="2"/>
        <v>393150.97498471779</v>
      </c>
    </row>
    <row r="50" spans="1:13" x14ac:dyDescent="0.25">
      <c r="A50">
        <v>466.47</v>
      </c>
      <c r="B50">
        <v>1782</v>
      </c>
      <c r="J50">
        <f>E$8+(E$7*A50)</f>
        <v>1544.78719505295</v>
      </c>
      <c r="K50">
        <f t="shared" si="0"/>
        <v>335539.57950001041</v>
      </c>
      <c r="L50">
        <f t="shared" si="1"/>
        <v>56269.914830847199</v>
      </c>
      <c r="M50">
        <f t="shared" si="2"/>
        <v>391809.49433085759</v>
      </c>
    </row>
    <row r="51" spans="1:13" x14ac:dyDescent="0.25">
      <c r="A51">
        <v>456.46</v>
      </c>
      <c r="B51">
        <v>1683</v>
      </c>
      <c r="J51">
        <f>E$8+(E$7*A51)</f>
        <v>1514.7744994085022</v>
      </c>
      <c r="K51">
        <f t="shared" si="0"/>
        <v>301670.16630084149</v>
      </c>
      <c r="L51">
        <f t="shared" si="1"/>
        <v>28299.819049260044</v>
      </c>
      <c r="M51">
        <f t="shared" si="2"/>
        <v>329969.98535010155</v>
      </c>
    </row>
    <row r="52" spans="1:13" x14ac:dyDescent="0.25">
      <c r="A52">
        <v>499.84</v>
      </c>
      <c r="B52">
        <v>1446</v>
      </c>
      <c r="J52">
        <f>E$8+(E$7*A52)</f>
        <v>1644.8395081054193</v>
      </c>
      <c r="K52">
        <f t="shared" si="0"/>
        <v>461462.20699042943</v>
      </c>
      <c r="L52">
        <f t="shared" si="1"/>
        <v>39537.149983605115</v>
      </c>
      <c r="M52">
        <f t="shared" si="2"/>
        <v>500999.35697403457</v>
      </c>
    </row>
    <row r="53" spans="1:13" x14ac:dyDescent="0.25">
      <c r="I53" t="s">
        <v>12</v>
      </c>
      <c r="K53">
        <f>SUM(K2:K52)</f>
        <v>8397287.3916673008</v>
      </c>
      <c r="L53">
        <f>SUM(L2:L52)</f>
        <v>2260055.3142150375</v>
      </c>
      <c r="M53">
        <f t="shared" si="2"/>
        <v>10657342.705882339</v>
      </c>
    </row>
    <row r="54" spans="1:13" x14ac:dyDescent="0.25">
      <c r="M54">
        <f>SUM(M2:M52)</f>
        <v>10657342.705882341</v>
      </c>
    </row>
    <row r="56" spans="1:13" x14ac:dyDescent="0.25">
      <c r="E56" s="1"/>
    </row>
    <row r="59" spans="1:13" ht="13" thickBot="1" x14ac:dyDescent="0.3"/>
    <row r="60" spans="1:13" x14ac:dyDescent="0.25">
      <c r="C60" s="4" t="s">
        <v>13</v>
      </c>
      <c r="D60" s="10" t="s">
        <v>14</v>
      </c>
      <c r="E60" s="11" t="s">
        <v>15</v>
      </c>
      <c r="F60" s="4" t="s">
        <v>16</v>
      </c>
      <c r="G60" s="5" t="s">
        <v>19</v>
      </c>
    </row>
    <row r="61" spans="1:13" x14ac:dyDescent="0.25">
      <c r="C61" s="6" t="s">
        <v>16</v>
      </c>
      <c r="D61" s="2">
        <v>8397287.3916673008</v>
      </c>
      <c r="E61" s="3">
        <v>1</v>
      </c>
      <c r="F61" s="6">
        <v>8397287.3916673008</v>
      </c>
      <c r="G61" s="7">
        <f>F61/F62</f>
        <v>182.06062462440593</v>
      </c>
    </row>
    <row r="62" spans="1:13" x14ac:dyDescent="0.25">
      <c r="C62" s="6" t="s">
        <v>17</v>
      </c>
      <c r="D62" s="2">
        <v>2260055.3142150375</v>
      </c>
      <c r="E62" s="3">
        <v>49</v>
      </c>
      <c r="F62" s="6">
        <f>D62/E62</f>
        <v>46123.577841123217</v>
      </c>
      <c r="G62" s="7"/>
    </row>
    <row r="63" spans="1:13" ht="13" thickBot="1" x14ac:dyDescent="0.3">
      <c r="C63" s="8" t="s">
        <v>18</v>
      </c>
      <c r="D63" s="12">
        <v>10657342.705882339</v>
      </c>
      <c r="E63" s="13"/>
      <c r="F63" s="8"/>
      <c r="G63" s="9"/>
    </row>
    <row r="65" spans="3:6" x14ac:dyDescent="0.25">
      <c r="C65" t="s">
        <v>21</v>
      </c>
      <c r="D65">
        <f>D61/D63</f>
        <v>0.78793444326721362</v>
      </c>
      <c r="E65" t="s">
        <v>20</v>
      </c>
      <c r="F65">
        <f>SQRT(D65)</f>
        <v>0.88765671476489916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fdelerue</dc:creator>
  <cp:lastModifiedBy>Lina Ben Aïssa</cp:lastModifiedBy>
  <dcterms:created xsi:type="dcterms:W3CDTF">2022-12-05T09:55:30Z</dcterms:created>
  <dcterms:modified xsi:type="dcterms:W3CDTF">2025-11-19T14:27:33Z</dcterms:modified>
</cp:coreProperties>
</file>